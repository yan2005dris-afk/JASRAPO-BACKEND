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<sst xmlns="http://schemas.openxmlformats.org/spreadsheetml/2006/main" count="23" uniqueCount="23">
  <si>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valor excedente por m3 tipo 1</t>
  </si>
  <si>
    <t xml:space="preserve">Valor Fijo tipo 1</t>
  </si>
  <si>
    <t xml:space="preserve">Valor excedente por m3 tipo 2</t>
  </si>
  <si>
    <t xml:space="preserve">Valor Fijo tipo 2</t>
  </si>
  <si>
    <t xml:space="preserve">Valor excedente por m3 tipo 3</t>
  </si>
  <si>
    <t xml:space="preserve">Valor Fijo Tipo 3</t>
  </si>
  <si>
    <t xml:space="preserve">5% del valor total, no del total del mes</t>
  </si>
  <si>
    <t>LECTURAS</t>
  </si>
  <si>
    <t>CONSUMOS</t>
  </si>
  <si>
    <t xml:space="preserve">TARIFAS US $</t>
  </si>
  <si>
    <t xml:space="preserve">Interes por Mora</t>
  </si>
  <si>
    <t xml:space="preserve">Tasa Segura</t>
  </si>
  <si>
    <t>Convenio</t>
  </si>
  <si>
    <t xml:space="preserve">Total del Mes</t>
  </si>
  <si>
    <t xml:space="preserve">Pagos (Abonos)</t>
  </si>
  <si>
    <t>Saldo</t>
  </si>
  <si>
    <t>Actual</t>
  </si>
  <si>
    <t>Anterior</t>
  </si>
  <si>
    <t>Consumo</t>
  </si>
  <si>
    <t>Excedente</t>
  </si>
  <si>
    <t xml:space="preserve">Cargo fijo</t>
  </si>
  <si>
    <t>Total</t>
  </si>
  <si>
    <t xml:space="preserve">DEUDA TOTAL: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</si>
</sst>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/>
    <xf fontId="0" fillId="0" borderId="0" numFmtId="9" xfId="0" applyNumberFormat="1"/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vertical="center"/>
    </xf>
    <xf fontId="1" fillId="0" borderId="6" numFmtId="0" xfId="0" applyFont="1" applyBorder="1" applyAlignment="1">
      <alignment horizontal="center" vertical="center" wrapText="1"/>
    </xf>
    <xf fontId="0" fillId="0" borderId="5" numFmtId="0" xfId="0" applyBorder="1"/>
    <xf fontId="0" fillId="0" borderId="5" numFmtId="2" xfId="0" applyNumberFormat="1" applyBorder="1"/>
    <xf fontId="0" fillId="0" borderId="0" numFmtId="2" xfId="0" applyNumberFormat="1"/>
    <xf fontId="0" fillId="0" borderId="7" numFmtId="0" xfId="0" applyBorder="1">
      <protection hidden="0" locked="1"/>
    </xf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4.25"/>
  <cols>
    <col customWidth="1" min="2" max="2" width="2.140625"/>
    <col customWidth="1" min="3" max="3" width="8.00390625"/>
    <col bestFit="1" min="4" max="4" width="7.953125"/>
    <col customWidth="1" min="5" max="5" width="8.7109375"/>
    <col bestFit="1" min="6" max="6" width="9.6640625"/>
    <col bestFit="1" min="8" max="8" width="9.6640625"/>
  </cols>
  <sheetData>
    <row r="2" ht="14.25">
      <c r="E2" t="s">
        <v>0</v>
      </c>
      <c r="H2">
        <v>0.40000000000000002</v>
      </c>
      <c r="J2">
        <v>10</v>
      </c>
      <c r="L2" t="s">
        <v>1</v>
      </c>
      <c r="N2">
        <v>4</v>
      </c>
    </row>
    <row r="3" ht="14.25">
      <c r="E3" t="s">
        <v>2</v>
      </c>
      <c r="H3">
        <v>0.75</v>
      </c>
      <c r="J3">
        <v>10</v>
      </c>
      <c r="L3" t="s">
        <v>3</v>
      </c>
      <c r="N3">
        <v>7.5</v>
      </c>
    </row>
    <row r="4" ht="14.25">
      <c r="E4" t="s">
        <v>4</v>
      </c>
      <c r="H4">
        <v>1.5</v>
      </c>
      <c r="J4">
        <v>10</v>
      </c>
      <c r="L4" t="s">
        <v>5</v>
      </c>
      <c r="N4">
        <v>15</v>
      </c>
    </row>
    <row r="5" ht="14.25">
      <c r="E5" s="1"/>
      <c r="H5" s="1"/>
      <c r="J5" s="1"/>
      <c r="L5" s="1"/>
      <c r="N5" s="1"/>
    </row>
    <row r="6" ht="14.25">
      <c r="G6" s="1"/>
      <c r="K6" s="2" t="s">
        <v>6</v>
      </c>
    </row>
    <row r="7" ht="14.25">
      <c r="C7" s="3" t="s">
        <v>7</v>
      </c>
      <c r="D7" s="4"/>
      <c r="E7" s="3" t="s">
        <v>8</v>
      </c>
      <c r="F7" s="4"/>
      <c r="G7" s="3" t="s">
        <v>9</v>
      </c>
      <c r="H7" s="5"/>
      <c r="I7" s="4"/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</row>
    <row r="8" ht="14.25"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19</v>
      </c>
      <c r="I8" s="7" t="s">
        <v>21</v>
      </c>
      <c r="J8" s="8"/>
      <c r="K8" s="8"/>
      <c r="L8" s="8"/>
      <c r="M8" s="8"/>
      <c r="N8" s="8"/>
      <c r="O8" s="8"/>
    </row>
    <row r="9" ht="14.25">
      <c r="B9">
        <v>1</v>
      </c>
      <c r="C9" s="9">
        <v>1977</v>
      </c>
      <c r="D9" s="9">
        <v>1950</v>
      </c>
      <c r="E9" s="9">
        <f>C9-D9</f>
        <v>27</v>
      </c>
      <c r="F9" s="9">
        <f>E9-$J$2</f>
        <v>17</v>
      </c>
      <c r="G9" s="9">
        <f t="shared" ref="G9:G13" si="0">$N$2</f>
        <v>4</v>
      </c>
      <c r="H9" s="9">
        <f>F9*$H$2</f>
        <v>6.8000000000000007</v>
      </c>
      <c r="I9" s="9">
        <f>G9+H9</f>
        <v>10.800000000000001</v>
      </c>
      <c r="J9" s="9">
        <v>0</v>
      </c>
      <c r="K9" s="9">
        <f>I9*(5/100)</f>
        <v>0.54000000000000004</v>
      </c>
      <c r="L9" s="9">
        <v>0</v>
      </c>
      <c r="M9" s="9">
        <f>L9+K9+J9+I9</f>
        <v>11.34</v>
      </c>
      <c r="N9" s="9">
        <v>8.1999999999999993</v>
      </c>
      <c r="O9" s="9">
        <f>M9-N9</f>
        <v>3.1400000000000006</v>
      </c>
    </row>
    <row r="10" ht="14.25">
      <c r="B10">
        <v>2</v>
      </c>
      <c r="C10" s="9">
        <v>2006</v>
      </c>
      <c r="D10" s="9">
        <f>$C$9</f>
        <v>1977</v>
      </c>
      <c r="E10" s="9">
        <f t="shared" ref="E10:E13" si="1">C10-D10</f>
        <v>29</v>
      </c>
      <c r="F10" s="9">
        <f>E10-$J$2</f>
        <v>19</v>
      </c>
      <c r="G10" s="9">
        <f t="shared" si="0"/>
        <v>4</v>
      </c>
      <c r="H10" s="9">
        <f t="shared" ref="H10:H13" si="2">F10*$H$2</f>
        <v>7.6000000000000005</v>
      </c>
      <c r="I10" s="9">
        <f t="shared" ref="I10:I13" si="3">G10+H10</f>
        <v>11.600000000000001</v>
      </c>
      <c r="J10" s="10">
        <f>O9*($N$2/12)*B9</f>
        <v>1.0466666666666669</v>
      </c>
      <c r="K10" s="9">
        <f t="shared" ref="K10:K13" si="4">I10*(5/100)</f>
        <v>0.58000000000000007</v>
      </c>
      <c r="L10" s="9"/>
      <c r="M10" s="10">
        <f t="shared" ref="M10:M13" si="5">L10+K10+J10+I10</f>
        <v>13.226666666666668</v>
      </c>
      <c r="N10" s="9"/>
      <c r="O10" s="10">
        <f t="shared" ref="O10:O13" si="6">M10-N10</f>
        <v>13.226666666666668</v>
      </c>
    </row>
    <row r="11" ht="14.25">
      <c r="B11">
        <v>3</v>
      </c>
      <c r="C11" s="9">
        <v>2028</v>
      </c>
      <c r="D11" s="9">
        <f>$C$10</f>
        <v>2006</v>
      </c>
      <c r="E11" s="9">
        <f t="shared" si="1"/>
        <v>22</v>
      </c>
      <c r="F11" s="9">
        <f t="shared" ref="F11:F13" si="7">E11-$J$2</f>
        <v>12</v>
      </c>
      <c r="G11" s="9">
        <f t="shared" si="0"/>
        <v>4</v>
      </c>
      <c r="H11" s="9">
        <f t="shared" si="2"/>
        <v>4.8000000000000007</v>
      </c>
      <c r="I11" s="9">
        <f t="shared" si="3"/>
        <v>8.8000000000000007</v>
      </c>
      <c r="J11" s="10">
        <f>O10*($N$2/12)*B10</f>
        <v>8.8177777777777777</v>
      </c>
      <c r="K11" s="9">
        <f t="shared" si="4"/>
        <v>0.44000000000000006</v>
      </c>
      <c r="L11" s="9"/>
      <c r="M11" s="10">
        <f t="shared" si="5"/>
        <v>18.05777777777778</v>
      </c>
      <c r="N11" s="9"/>
      <c r="O11" s="10">
        <f t="shared" si="6"/>
        <v>18.05777777777778</v>
      </c>
    </row>
    <row r="12" ht="14.25">
      <c r="B12">
        <v>4</v>
      </c>
      <c r="C12" s="9">
        <v>2038</v>
      </c>
      <c r="D12" s="9">
        <f>$C$11</f>
        <v>2028</v>
      </c>
      <c r="E12" s="9">
        <f t="shared" si="1"/>
        <v>10</v>
      </c>
      <c r="F12" s="9">
        <f>E12-$J$2</f>
        <v>0</v>
      </c>
      <c r="G12" s="9">
        <f t="shared" si="0"/>
        <v>4</v>
      </c>
      <c r="H12" s="9">
        <f t="shared" si="2"/>
        <v>0</v>
      </c>
      <c r="I12" s="9">
        <f t="shared" si="3"/>
        <v>4</v>
      </c>
      <c r="J12" s="10">
        <f>O11*($N$2/12)*B11</f>
        <v>18.05777777777778</v>
      </c>
      <c r="K12" s="9">
        <f t="shared" si="4"/>
        <v>0.20000000000000001</v>
      </c>
      <c r="L12" s="9"/>
      <c r="M12" s="10">
        <f t="shared" si="5"/>
        <v>22.257777777777779</v>
      </c>
      <c r="N12" s="9"/>
      <c r="O12" s="10">
        <f t="shared" si="6"/>
        <v>22.257777777777779</v>
      </c>
    </row>
    <row r="13" ht="14.25">
      <c r="B13">
        <v>5</v>
      </c>
      <c r="C13" s="9">
        <v>2048</v>
      </c>
      <c r="D13" s="9">
        <f>$C$12</f>
        <v>2038</v>
      </c>
      <c r="E13" s="9">
        <f t="shared" si="1"/>
        <v>10</v>
      </c>
      <c r="F13" s="9">
        <f t="shared" si="7"/>
        <v>0</v>
      </c>
      <c r="G13" s="9">
        <f t="shared" si="0"/>
        <v>4</v>
      </c>
      <c r="H13" s="9">
        <f t="shared" si="2"/>
        <v>0</v>
      </c>
      <c r="I13" s="9">
        <f t="shared" si="3"/>
        <v>4</v>
      </c>
      <c r="J13" s="10">
        <f>O12*($N$2/12)*B12</f>
        <v>29.677037037037039</v>
      </c>
      <c r="K13" s="9">
        <f t="shared" si="4"/>
        <v>0.20000000000000001</v>
      </c>
      <c r="L13" s="9"/>
      <c r="M13" s="10">
        <f t="shared" si="5"/>
        <v>33.877037037037042</v>
      </c>
      <c r="N13" s="9"/>
      <c r="O13" s="10">
        <f t="shared" si="6"/>
        <v>33.877037037037042</v>
      </c>
    </row>
    <row r="15" ht="14.25">
      <c r="K15" t="s">
        <v>22</v>
      </c>
      <c r="M15" s="11">
        <f>SUM(M9:M11)</f>
        <v>42.62444444444445</v>
      </c>
      <c r="N15">
        <f>SUM(N9:N12)</f>
        <v>8.1999999999999993</v>
      </c>
      <c r="O15" s="11">
        <f>SUM(O9:O11)</f>
        <v>34.424444444444447</v>
      </c>
    </row>
    <row r="19" ht="14.25">
      <c r="B19" s="12"/>
      <c r="C19" s="13" t="s">
        <v>7</v>
      </c>
      <c r="D19" s="14"/>
      <c r="E19" s="13" t="s">
        <v>8</v>
      </c>
      <c r="F19" s="14"/>
      <c r="G19" s="13" t="s">
        <v>9</v>
      </c>
      <c r="H19" s="15"/>
      <c r="I19" s="14"/>
      <c r="J19" s="16" t="s">
        <v>10</v>
      </c>
      <c r="K19" s="16" t="s">
        <v>11</v>
      </c>
      <c r="L19" s="16" t="s">
        <v>12</v>
      </c>
      <c r="M19" s="16" t="s">
        <v>13</v>
      </c>
      <c r="N19" s="16" t="s">
        <v>14</v>
      </c>
      <c r="O19" s="16" t="s">
        <v>15</v>
      </c>
    </row>
    <row r="20" ht="14.25">
      <c r="B20" s="12"/>
      <c r="C20" s="7" t="s">
        <v>16</v>
      </c>
      <c r="D20" s="7" t="s">
        <v>17</v>
      </c>
      <c r="E20" s="7" t="s">
        <v>18</v>
      </c>
      <c r="F20" s="7" t="s">
        <v>19</v>
      </c>
      <c r="G20" s="7" t="s">
        <v>20</v>
      </c>
      <c r="H20" s="7" t="s">
        <v>19</v>
      </c>
      <c r="I20" s="7" t="s">
        <v>21</v>
      </c>
      <c r="J20" s="8"/>
      <c r="K20" s="8"/>
      <c r="L20" s="8"/>
      <c r="M20" s="8"/>
      <c r="N20" s="8"/>
      <c r="O20" s="8"/>
    </row>
    <row r="21" ht="14.25">
      <c r="B21" s="12">
        <v>1</v>
      </c>
      <c r="C21" s="9">
        <v>1977</v>
      </c>
      <c r="D21" s="9">
        <v>1950</v>
      </c>
      <c r="E21" s="9">
        <f>C21-D21</f>
        <v>27</v>
      </c>
      <c r="F21" s="9">
        <f>E21-$J$2</f>
        <v>17</v>
      </c>
      <c r="G21" s="9">
        <f>$N$3</f>
        <v>7.5</v>
      </c>
      <c r="H21" s="9">
        <f>F21*$H$3</f>
        <v>12.75</v>
      </c>
      <c r="I21" s="9">
        <f>G21+H21</f>
        <v>20.25</v>
      </c>
      <c r="J21" s="9">
        <v>0</v>
      </c>
      <c r="K21" s="10">
        <f>I21*(5/100)</f>
        <v>1.0125</v>
      </c>
      <c r="L21" s="9">
        <v>0</v>
      </c>
      <c r="M21" s="10">
        <f>L21+K21+J21+I21</f>
        <v>21.262499999999999</v>
      </c>
      <c r="N21" s="9">
        <v>8.1999999999999993</v>
      </c>
      <c r="O21" s="10">
        <f>M21-N21</f>
        <v>13.0625</v>
      </c>
    </row>
    <row r="22" ht="14.25">
      <c r="B22" s="12">
        <v>2</v>
      </c>
      <c r="C22" s="9">
        <v>2006</v>
      </c>
      <c r="D22" s="9">
        <f>$C$9</f>
        <v>1977</v>
      </c>
      <c r="E22" s="9">
        <f>C22-D22</f>
        <v>29</v>
      </c>
      <c r="F22" s="9">
        <f>E22-$J$2</f>
        <v>19</v>
      </c>
      <c r="G22" s="9">
        <f>$N$3</f>
        <v>7.5</v>
      </c>
      <c r="H22" s="9">
        <f>F22*$H$3</f>
        <v>14.25</v>
      </c>
      <c r="I22" s="9">
        <f>G22+H22</f>
        <v>21.75</v>
      </c>
      <c r="J22" s="10">
        <f>O21*($N$3/12)*B21</f>
        <v>8.1640625</v>
      </c>
      <c r="K22" s="10">
        <f>I22*(5/100)</f>
        <v>1.0875000000000001</v>
      </c>
      <c r="L22" s="9"/>
      <c r="M22" s="10">
        <f>L22+K22+J22+I22</f>
        <v>31.001562499999999</v>
      </c>
      <c r="N22" s="9"/>
      <c r="O22" s="10">
        <f>M22-N22</f>
        <v>31.001562499999999</v>
      </c>
    </row>
    <row r="23" ht="14.25">
      <c r="B23" s="12">
        <v>3</v>
      </c>
      <c r="C23" s="9">
        <v>2028</v>
      </c>
      <c r="D23" s="9">
        <f>$C$10</f>
        <v>2006</v>
      </c>
      <c r="E23" s="9">
        <f>C23-D23</f>
        <v>22</v>
      </c>
      <c r="F23" s="9">
        <f>E23-$J$2</f>
        <v>12</v>
      </c>
      <c r="G23" s="9">
        <f>$N$3</f>
        <v>7.5</v>
      </c>
      <c r="H23" s="9">
        <f>F23*$H$3</f>
        <v>9</v>
      </c>
      <c r="I23" s="9">
        <f>G23+H23</f>
        <v>16.5</v>
      </c>
      <c r="J23" s="10">
        <f>O22*($N$3/12)*B22</f>
        <v>38.751953125</v>
      </c>
      <c r="K23" s="10">
        <f>I23*(5/100)</f>
        <v>0.82500000000000007</v>
      </c>
      <c r="L23" s="9"/>
      <c r="M23" s="10">
        <f>L23+K23+J23+I23</f>
        <v>56.076953125000003</v>
      </c>
      <c r="N23" s="9"/>
      <c r="O23" s="10">
        <f>M23-N23</f>
        <v>56.076953125000003</v>
      </c>
    </row>
    <row r="24" ht="14.25">
      <c r="B24" s="12">
        <v>4</v>
      </c>
      <c r="C24" s="9">
        <v>2038</v>
      </c>
      <c r="D24" s="9">
        <f>$C$11</f>
        <v>2028</v>
      </c>
      <c r="E24" s="9">
        <f>C24-D24</f>
        <v>10</v>
      </c>
      <c r="F24" s="9">
        <f>E24-$J$2</f>
        <v>0</v>
      </c>
      <c r="G24" s="9">
        <f>$N$3</f>
        <v>7.5</v>
      </c>
      <c r="H24" s="9">
        <f>F24*$H$3</f>
        <v>0</v>
      </c>
      <c r="I24" s="9">
        <f>G24+H24</f>
        <v>7.5</v>
      </c>
      <c r="J24" s="10">
        <f>O23*($N$3/12)*B23</f>
        <v>105.144287109375</v>
      </c>
      <c r="K24" s="10">
        <f>I24*(5/100)</f>
        <v>0.375</v>
      </c>
      <c r="L24" s="9"/>
      <c r="M24" s="10">
        <f>L24+K24+J24+I24</f>
        <v>113.019287109375</v>
      </c>
      <c r="N24" s="9"/>
      <c r="O24" s="10">
        <f>M24-N24</f>
        <v>113.019287109375</v>
      </c>
    </row>
    <row r="25" ht="14.25">
      <c r="B25" s="12">
        <v>5</v>
      </c>
      <c r="C25" s="9">
        <v>2048</v>
      </c>
      <c r="D25" s="9">
        <f>$C$12</f>
        <v>2038</v>
      </c>
      <c r="E25" s="9">
        <f>C25-D25</f>
        <v>10</v>
      </c>
      <c r="F25" s="9">
        <f>E25-$J$2</f>
        <v>0</v>
      </c>
      <c r="G25" s="9">
        <f>$N$3</f>
        <v>7.5</v>
      </c>
      <c r="H25" s="9">
        <f>F25*$H$3</f>
        <v>0</v>
      </c>
      <c r="I25" s="9">
        <f>G25+H25</f>
        <v>7.5</v>
      </c>
      <c r="J25" s="10">
        <f>O24*($N$3/12)*B24</f>
        <v>282.5482177734375</v>
      </c>
      <c r="K25" s="10">
        <f>I25*(5/100)</f>
        <v>0.375</v>
      </c>
      <c r="L25" s="9"/>
      <c r="M25" s="10">
        <f>L25+K25+J25+I25</f>
        <v>290.4232177734375</v>
      </c>
      <c r="N25" s="9"/>
      <c r="O25" s="10">
        <f>M25-N25</f>
        <v>290.4232177734375</v>
      </c>
    </row>
    <row r="26" ht="14.2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4.25">
      <c r="B27" s="17"/>
      <c r="C27" s="17"/>
      <c r="D27" s="17"/>
      <c r="E27" s="17"/>
      <c r="F27" s="17"/>
      <c r="G27" s="17"/>
      <c r="H27" s="17"/>
      <c r="I27" s="17"/>
      <c r="J27" s="17"/>
      <c r="K27" s="17" t="s">
        <v>22</v>
      </c>
      <c r="L27" s="17"/>
      <c r="M27" s="11">
        <f>SUM(M21:M23)</f>
        <v>108.341015625</v>
      </c>
      <c r="N27" s="17">
        <f>SUM(N21:N24)</f>
        <v>8.1999999999999993</v>
      </c>
      <c r="O27" s="11">
        <f>SUM(O21:O23)</f>
        <v>100.14101562499999</v>
      </c>
    </row>
  </sheetData>
  <mergeCells count="18">
    <mergeCell ref="C7:D7"/>
    <mergeCell ref="E7:F7"/>
    <mergeCell ref="G7:I7"/>
    <mergeCell ref="J7:J8"/>
    <mergeCell ref="K7:K8"/>
    <mergeCell ref="L7:L8"/>
    <mergeCell ref="M7:M8"/>
    <mergeCell ref="N7:N8"/>
    <mergeCell ref="O7:O8"/>
    <mergeCell ref="C19:D19"/>
    <mergeCell ref="E19:F19"/>
    <mergeCell ref="G19:I19"/>
    <mergeCell ref="J19:J20"/>
    <mergeCell ref="K19:K20"/>
    <mergeCell ref="L19:L20"/>
    <mergeCell ref="M19:M20"/>
    <mergeCell ref="N19:N20"/>
    <mergeCell ref="O19:O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2026-03-25T17:52:46Z</dcterms:modified>
</cp:coreProperties>
</file>